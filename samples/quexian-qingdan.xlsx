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缺陷" sheetId="1" r:id="rId1"/>
    <sheet name="汇总" sheetId="2" r:id="rId2"/>
  </sheets>
  <calcPr calcId="124519" fullCalcOnLoad="1"/>
</workbook>
</file>

<file path=xl/sharedStrings.xml><?xml version="1.0" encoding="utf-8"?>
<sst xmlns="http://schemas.openxmlformats.org/spreadsheetml/2006/main" count="41" uniqueCount="31">
  <si>
    <t>编号</t>
  </si>
  <si>
    <t>位置</t>
  </si>
  <si>
    <t>缺陷描述</t>
  </si>
  <si>
    <t>责任方</t>
  </si>
  <si>
    <t>整改期限</t>
  </si>
  <si>
    <t>状态</t>
  </si>
  <si>
    <t>地下室</t>
  </si>
  <si>
    <t>地下室电缆桥架未接地</t>
  </si>
  <si>
    <t>乙方</t>
  </si>
  <si>
    <t>已整改</t>
  </si>
  <si>
    <t>110 kV开关室</t>
  </si>
  <si>
    <t>出线间隔标识不完整</t>
  </si>
  <si>
    <t>UPS室</t>
  </si>
  <si>
    <t>UPS直流母线遗留工作</t>
  </si>
  <si>
    <t>未整改</t>
  </si>
  <si>
    <t>UPS屏柜接地导通电阻超标（实测0.35 Ω，要求≤0.2 Ω）</t>
  </si>
  <si>
    <t>主控室</t>
  </si>
  <si>
    <t>后台监控系统频繁误报信号，需运维方配合消缺</t>
  </si>
  <si>
    <t>运维方</t>
  </si>
  <si>
    <r>
      <rPr>
        <b/>
        <sz val="11"/>
        <color theme="1"/>
        <rFont val="Calibri"/>
        <family val="2"/>
        <scheme val="minor"/>
      </rPr>
      <t>【重要】</t>
    </r>
    <r>
      <rPr>
        <sz val="11"/>
        <color theme="1"/>
        <rFont val="Calibri"/>
        <family val="2"/>
        <scheme val="minor"/>
      </rPr>
      <t>2号主变110 kV侧隔离开关触头发热，红外测温82 ℃</t>
    </r>
  </si>
  <si>
    <t>统计项目</t>
  </si>
  <si>
    <t>数值</t>
  </si>
  <si>
    <t>缺陷总数</t>
  </si>
  <si>
    <t>已整改数量</t>
  </si>
  <si>
    <t>未整改数量</t>
  </si>
  <si>
    <t>整改完成率</t>
  </si>
  <si>
    <t>乙方责任缺陷</t>
  </si>
  <si>
    <t>结算金额（元）</t>
  </si>
  <si>
    <t>质量保证金比例</t>
  </si>
  <si>
    <t>质量保证金（元）</t>
  </si>
  <si>
    <t>统计日期</t>
  </si>
</sst>
</file>

<file path=xl/styles.xml><?xml version="1.0" encoding="utf-8"?>
<styleSheet xmlns="http://schemas.openxmlformats.org/spreadsheetml/2006/main">
  <numFmts count="3">
    <numFmt numFmtId="164" formatCode="yyyy&quot;年&quot;m&quot;月&quot;d&quot;日&quot;"/>
    <numFmt numFmtId="165" formatCode="0%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5.7109375" customWidth="1"/>
    <col min="3" max="3" width="52.7109375" customWidth="1"/>
    <col min="4" max="4" width="10.7109375" customWidth="1"/>
    <col min="5" max="5" width="17.7109375" customWidth="1"/>
    <col min="6" max="6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3" t="s">
        <v>7</v>
      </c>
      <c r="D2" s="2" t="s">
        <v>8</v>
      </c>
      <c r="E2" s="4">
        <v>46142</v>
      </c>
      <c r="F2" s="2" t="s">
        <v>9</v>
      </c>
    </row>
    <row r="3" spans="1:6">
      <c r="A3" s="2">
        <v>2</v>
      </c>
      <c r="B3" s="2" t="s">
        <v>10</v>
      </c>
      <c r="C3" s="3" t="s">
        <v>11</v>
      </c>
      <c r="D3" s="2" t="s">
        <v>8</v>
      </c>
      <c r="E3" s="4">
        <v>46127</v>
      </c>
      <c r="F3" s="2" t="s">
        <v>9</v>
      </c>
    </row>
    <row r="4" spans="1:6">
      <c r="A4" s="2">
        <v>3</v>
      </c>
      <c r="B4" s="2" t="s">
        <v>12</v>
      </c>
      <c r="C4" s="3" t="s">
        <v>13</v>
      </c>
      <c r="D4" s="2" t="s">
        <v>8</v>
      </c>
      <c r="E4" s="4">
        <v>46188</v>
      </c>
      <c r="F4" s="2" t="s">
        <v>14</v>
      </c>
    </row>
    <row r="5" spans="1:6">
      <c r="A5" s="2">
        <v>4</v>
      </c>
      <c r="B5" s="2" t="s">
        <v>12</v>
      </c>
      <c r="C5" s="3" t="s">
        <v>15</v>
      </c>
      <c r="D5" s="2" t="s">
        <v>8</v>
      </c>
      <c r="E5" s="4">
        <v>46188</v>
      </c>
      <c r="F5" s="2" t="s">
        <v>14</v>
      </c>
    </row>
    <row r="6" spans="1:6">
      <c r="A6" s="2">
        <v>5</v>
      </c>
      <c r="B6" s="2" t="s">
        <v>16</v>
      </c>
      <c r="C6" s="3" t="s">
        <v>17</v>
      </c>
      <c r="D6" s="2" t="s">
        <v>18</v>
      </c>
      <c r="E6" s="4">
        <v>46173</v>
      </c>
      <c r="F6" s="2" t="s">
        <v>9</v>
      </c>
    </row>
    <row r="7" spans="1:6">
      <c r="A7" s="2">
        <v>6</v>
      </c>
      <c r="B7" s="2" t="s">
        <v>10</v>
      </c>
      <c r="C7" s="3" t="s">
        <v>19</v>
      </c>
      <c r="D7" s="2" t="s">
        <v>18</v>
      </c>
      <c r="E7" s="4">
        <v>46203</v>
      </c>
      <c r="F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0.7109375" customWidth="1"/>
    <col min="2" max="2" width="18.7109375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5">
        <f>COUNTA(缺陷!A2:A7)</f>
        <v>6.0</v>
      </c>
    </row>
    <row r="3" spans="1:2">
      <c r="A3" s="2" t="s">
        <v>23</v>
      </c>
      <c r="B3" s="5">
        <f>COUNTIF(缺陷!F:F,"已整改")</f>
        <v>3.0</v>
      </c>
    </row>
    <row r="4" spans="1:2">
      <c r="A4" s="2" t="s">
        <v>24</v>
      </c>
      <c r="B4" s="5">
        <f>COUNTIF(缺陷!F:F,"未整改")</f>
        <v>3.0</v>
      </c>
    </row>
    <row r="5" spans="1:2">
      <c r="A5" s="2" t="s">
        <v>25</v>
      </c>
      <c r="B5" s="6">
        <f>B3/B2</f>
        <v>0.5</v>
      </c>
    </row>
    <row r="6" spans="1:2">
      <c r="A6" s="2" t="s">
        <v>26</v>
      </c>
      <c r="B6" s="5">
        <f>COUNTIF(缺陷!D:D,"乙方")</f>
        <v>4.0</v>
      </c>
    </row>
    <row r="7" spans="1:2">
      <c r="A7" s="2" t="s">
        <v>27</v>
      </c>
      <c r="B7" s="7">
        <v>625000</v>
      </c>
    </row>
    <row r="8" spans="1:2">
      <c r="A8" s="2" t="s">
        <v>28</v>
      </c>
      <c r="B8" s="6">
        <v>0.05</v>
      </c>
    </row>
    <row r="9" spans="1:2">
      <c r="A9" s="2" t="s">
        <v>29</v>
      </c>
      <c r="B9" s="7">
        <f>B7*B8</f>
        <v>31250.0</v>
      </c>
    </row>
    <row r="10" spans="1:2">
      <c r="A10" s="2" t="s">
        <v>30</v>
      </c>
      <c r="B10" s="4">
        <v>46162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缺陷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缺陷清单</dc:title>
  <dc:creator>李志强</dc:creator>
  <cp:lastModifiedBy>李志强</cp:lastModifiedBy>
  <dcterms:created xsi:type="dcterms:W3CDTF">2026-05-20T09:30:00Z</dcterms:created>
  <dcterms:modified xsi:type="dcterms:W3CDTF">2026-05-20T09:30:00Z</dcterms:modified>
</cp:coreProperties>
</file>